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 activeTab="3"/>
  </bookViews>
  <sheets>
    <sheet name="1_Raw_Data" sheetId="1" r:id="rId1"/>
    <sheet name="2_Analysis" sheetId="2" r:id="rId2"/>
    <sheet name="3_Summary" sheetId="3" r:id="rId3"/>
    <sheet name="4_Dashboard" sheetId="4" r:id="rId4"/>
  </sheets>
  <definedNames>
    <definedName name="_xlnm._FilterDatabase" localSheetId="0" hidden="1">'1_Raw_Data'!$A$1:$J$21</definedName>
  </definedNames>
  <calcPr calcId="144525"/>
  <fileRecoveryPr repairLoad="1"/>
</workbook>
</file>

<file path=xl/calcChain.xml><?xml version="1.0" encoding="utf-8"?>
<calcChain xmlns="http://schemas.openxmlformats.org/spreadsheetml/2006/main">
  <c r="K6" i="4" l="1"/>
  <c r="H6" i="4"/>
  <c r="E6" i="4"/>
  <c r="B6" i="4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F5" i="3"/>
  <c r="E5" i="3"/>
  <c r="B5" i="3"/>
  <c r="F4" i="3"/>
  <c r="E4" i="3"/>
  <c r="B4" i="3"/>
  <c r="H20" i="2"/>
  <c r="G20" i="2"/>
  <c r="H19" i="2"/>
  <c r="G19" i="2"/>
  <c r="H18" i="2"/>
  <c r="G18" i="2"/>
  <c r="H17" i="2"/>
  <c r="G17" i="2"/>
  <c r="H16" i="2"/>
  <c r="G16" i="2"/>
  <c r="H15" i="2"/>
  <c r="G15" i="2"/>
  <c r="D15" i="2"/>
  <c r="C15" i="2"/>
  <c r="B15" i="2"/>
  <c r="H14" i="2"/>
  <c r="G14" i="2"/>
  <c r="D14" i="2"/>
  <c r="C14" i="2"/>
  <c r="B14" i="2"/>
  <c r="H13" i="2"/>
  <c r="G13" i="2"/>
  <c r="D13" i="2"/>
  <c r="C13" i="2"/>
  <c r="B13" i="2"/>
  <c r="H12" i="2"/>
  <c r="G12" i="2"/>
  <c r="D12" i="2"/>
  <c r="C12" i="2"/>
  <c r="B12" i="2"/>
  <c r="H11" i="2"/>
  <c r="G11" i="2"/>
  <c r="D11" i="2"/>
  <c r="C11" i="2"/>
  <c r="B11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<sst xmlns="http://schemas.openxmlformats.org/spreadsheetml/2006/main" count="218" uniqueCount="109">
  <si>
    <t>Flight_ID</t>
  </si>
  <si>
    <t>PNR</t>
  </si>
  <si>
    <t>Passenger_Name</t>
  </si>
  <si>
    <t>Airline</t>
  </si>
  <si>
    <t>From</t>
  </si>
  <si>
    <t>To</t>
  </si>
  <si>
    <t>Flight_Date</t>
  </si>
  <si>
    <t>Seat_Class</t>
  </si>
  <si>
    <t>Ticket_Price</t>
  </si>
  <si>
    <t>Status</t>
  </si>
  <si>
    <t>FL001</t>
  </si>
  <si>
    <t>PNR0001</t>
  </si>
  <si>
    <t>Passenger 1</t>
  </si>
  <si>
    <t>IndiGo</t>
  </si>
  <si>
    <t>Delhi</t>
  </si>
  <si>
    <t>Mumbai</t>
  </si>
  <si>
    <t>Economy</t>
  </si>
  <si>
    <t>Confirmed</t>
  </si>
  <si>
    <t>FL002</t>
  </si>
  <si>
    <t>PNR0002</t>
  </si>
  <si>
    <t>Passenger 2</t>
  </si>
  <si>
    <t>Air India</t>
  </si>
  <si>
    <t>FL003</t>
  </si>
  <si>
    <t>PNR0003</t>
  </si>
  <si>
    <t>Passenger 3</t>
  </si>
  <si>
    <t>Vistara</t>
  </si>
  <si>
    <t>Bengaluru</t>
  </si>
  <si>
    <t>FL004</t>
  </si>
  <si>
    <t>PNR0004</t>
  </si>
  <si>
    <t>Passenger 4</t>
  </si>
  <si>
    <t>SpiceJet</t>
  </si>
  <si>
    <t>Business</t>
  </si>
  <si>
    <t>Cancelled</t>
  </si>
  <si>
    <t>FL005</t>
  </si>
  <si>
    <t>PNR0005</t>
  </si>
  <si>
    <t>Passenger 5</t>
  </si>
  <si>
    <t>Akasa Air</t>
  </si>
  <si>
    <t>Kolkata</t>
  </si>
  <si>
    <t>FL006</t>
  </si>
  <si>
    <t>PNR0006</t>
  </si>
  <si>
    <t>Passenger 6</t>
  </si>
  <si>
    <t>FL007</t>
  </si>
  <si>
    <t>PNR0007</t>
  </si>
  <si>
    <t>Passenger 7</t>
  </si>
  <si>
    <t>Hyderabad</t>
  </si>
  <si>
    <t>FL008</t>
  </si>
  <si>
    <t>PNR0008</t>
  </si>
  <si>
    <t>Passenger 8</t>
  </si>
  <si>
    <t>FL009</t>
  </si>
  <si>
    <t>PNR0009</t>
  </si>
  <si>
    <t>Passenger 9</t>
  </si>
  <si>
    <t>FL010</t>
  </si>
  <si>
    <t>PNR0010</t>
  </si>
  <si>
    <t>Passenger 10</t>
  </si>
  <si>
    <t>FL011</t>
  </si>
  <si>
    <t>PNR0011</t>
  </si>
  <si>
    <t>Passenger 11</t>
  </si>
  <si>
    <t>FL012</t>
  </si>
  <si>
    <t>PNR0012</t>
  </si>
  <si>
    <t>Passenger 12</t>
  </si>
  <si>
    <t>FL013</t>
  </si>
  <si>
    <t>PNR0013</t>
  </si>
  <si>
    <t>Passenger 13</t>
  </si>
  <si>
    <t>FL014</t>
  </si>
  <si>
    <t>PNR0014</t>
  </si>
  <si>
    <t>Passenger 14</t>
  </si>
  <si>
    <t>FL015</t>
  </si>
  <si>
    <t>PNR0015</t>
  </si>
  <si>
    <t>Passenger 15</t>
  </si>
  <si>
    <t>FL016</t>
  </si>
  <si>
    <t>PNR0016</t>
  </si>
  <si>
    <t>Passenger 16</t>
  </si>
  <si>
    <t>FL017</t>
  </si>
  <si>
    <t>PNR0017</t>
  </si>
  <si>
    <t>Passenger 17</t>
  </si>
  <si>
    <t>FL018</t>
  </si>
  <si>
    <t>PNR0018</t>
  </si>
  <si>
    <t>Passenger 18</t>
  </si>
  <si>
    <t>FL019</t>
  </si>
  <si>
    <t>PNR0019</t>
  </si>
  <si>
    <t>Passenger 19</t>
  </si>
  <si>
    <t>FL020</t>
  </si>
  <si>
    <t>PNR0020</t>
  </si>
  <si>
    <t>Passenger 20</t>
  </si>
  <si>
    <t>AIRLINE PROJECT ANALYSIS</t>
  </si>
  <si>
    <t>Total Bookings</t>
  </si>
  <si>
    <t>Confirmed Bookings</t>
  </si>
  <si>
    <t>Cancelled Bookings</t>
  </si>
  <si>
    <t>Total Revenue</t>
  </si>
  <si>
    <t>Average Ticket Price</t>
  </si>
  <si>
    <t>Bookings</t>
  </si>
  <si>
    <t>Revenue</t>
  </si>
  <si>
    <t>Route</t>
  </si>
  <si>
    <t>Bengaluru → Delhi</t>
  </si>
  <si>
    <t>Bengaluru → Mumbai</t>
  </si>
  <si>
    <t>Delhi → Bengaluru</t>
  </si>
  <si>
    <t>Delhi → Hyderabad</t>
  </si>
  <si>
    <t>Delhi → Mumbai</t>
  </si>
  <si>
    <t>Hyderabad → Delhi</t>
  </si>
  <si>
    <t>Kolkata → Mumbai</t>
  </si>
  <si>
    <t>Mumbai → Bengaluru</t>
  </si>
  <si>
    <t>Mumbai → Delhi</t>
  </si>
  <si>
    <t>Mumbai → Kolkata</t>
  </si>
  <si>
    <t>DASHBOARD SUPPORT SUMMARY</t>
  </si>
  <si>
    <t>Seat Class</t>
  </si>
  <si>
    <t>Flight Date</t>
  </si>
  <si>
    <t>✈ AIRLINE RESERVATION DASHBOARD</t>
  </si>
  <si>
    <t>Excel Dashboard | MySQL Airline Project</t>
  </si>
  <si>
    <t>Tip: Raw data ko update karoge to formulas/charts refresh karne ke liye Excel me Recalculate (F9) kar sakte 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</si>
</sst>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5" formatCode="dd\-mmm\-yyyy"/>
    <numFmt numFmtId="166" formatCode="\₹#,##0"/>
    <numFmt numFmtId="167" formatCode="dd\-mmm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  <font>
      <b/>
      <sz val="22"/>
      <name val="Calibri"/>
    </font>
    <font>
      <i/>
      <sz val="11"/>
      <name val="Calibri"/>
    </font>
    <font>
      <b/>
      <sz val="18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0" fontId="3" fillId="3" borderId="1" xfId="0" applyFont="1" applyFill="1" applyBorder="1"/>
    <xf numFmtId="0" fontId="3" fillId="4" borderId="1" xfId="0" applyFont="1" applyFill="1" applyBorder="1"/>
    <xf numFmtId="166" fontId="3" fillId="4" borderId="1" xfId="0" applyNumberFormat="1" applyFont="1" applyFill="1" applyBorder="1"/>
    <xf numFmtId="0" fontId="1" fillId="2" borderId="1" xfId="0" applyFont="1" applyFill="1" applyBorder="1"/>
    <xf numFmtId="167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0" xfId="0"/>
    <xf numFmtId="0" fontId="6" fillId="4" borderId="0" xfId="0" applyFont="1" applyFill="1" applyAlignment="1">
      <alignment horizontal="center" vertical="center"/>
    </xf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166" fontId="6" fillId="4" borderId="0" xfId="0" applyNumberFormat="1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Booking Status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'3_Summary'!$B$3</c:f>
              <c:strCache>
                <c:ptCount val="1"/>
                <c:pt idx="0">
                  <c:v>Bookings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'3_Summary'!$A$4:$A$5</c:f>
              <c:strCache>
                <c:ptCount val="2"/>
                <c:pt idx="0">
                  <c:v>Confirmed</c:v>
                </c:pt>
                <c:pt idx="1">
                  <c:v>Cancelled</c:v>
                </c:pt>
              </c:strCache>
            </c:strRef>
          </c:cat>
          <c:val>
            <c:numRef>
              <c:f>'3_Summary'!$B$4:$B$5</c:f>
              <c:numCache>
                <c:formatCode>General</c:formatCode>
                <c:ptCount val="2"/>
                <c:pt idx="0">
                  <c:v>15</c:v>
                </c:pt>
                <c:pt idx="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Bookings by Airline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'2_Analysis'!$B$10</c:f>
              <c:strCache>
                <c:ptCount val="1"/>
                <c:pt idx="0">
                  <c:v>Bookings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'2_Analysis'!$A$11:$A$15</c:f>
              <c:strCache>
                <c:ptCount val="5"/>
                <c:pt idx="0">
                  <c:v>IndiGo</c:v>
                </c:pt>
                <c:pt idx="1">
                  <c:v>Air India</c:v>
                </c:pt>
                <c:pt idx="2">
                  <c:v>Vistara</c:v>
                </c:pt>
                <c:pt idx="3">
                  <c:v>SpiceJet</c:v>
                </c:pt>
                <c:pt idx="4">
                  <c:v>Akasa Air</c:v>
                </c:pt>
              </c:strCache>
            </c:strRef>
          </c:cat>
          <c:val>
            <c:numRef>
              <c:f>'2_Analysis'!$B$11:$B$15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186176"/>
        <c:axId val="207187968"/>
      </c:barChart>
      <c:catAx>
        <c:axId val="207186176"/>
        <c:scaling>
          <c:orientation val="minMax"/>
        </c:scaling>
        <c:delete val="1"/>
        <c:axPos val="b"/>
        <c:majorTickMark val="none"/>
        <c:minorTickMark val="none"/>
        <c:tickLblPos val="nextTo"/>
        <c:crossAx val="207187968"/>
        <c:crosses val="autoZero"/>
        <c:auto val="1"/>
        <c:lblAlgn val="ctr"/>
        <c:lblOffset val="100"/>
        <c:noMultiLvlLbl val="1"/>
      </c:catAx>
      <c:valAx>
        <c:axId val="20718796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Bookings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07186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Bookings by Seat Class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'3_Summary'!$E$3</c:f>
              <c:strCache>
                <c:ptCount val="1"/>
                <c:pt idx="0">
                  <c:v>Bookings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'3_Summary'!$D$4:$D$5</c:f>
              <c:strCache>
                <c:ptCount val="2"/>
                <c:pt idx="0">
                  <c:v>Economy</c:v>
                </c:pt>
                <c:pt idx="1">
                  <c:v>Business</c:v>
                </c:pt>
              </c:strCache>
            </c:strRef>
          </c:cat>
          <c:val>
            <c:numRef>
              <c:f>'3_Summary'!$E$4:$E$5</c:f>
              <c:numCache>
                <c:formatCode>General</c:formatCode>
                <c:ptCount val="2"/>
                <c:pt idx="0">
                  <c:v>15</c:v>
                </c:pt>
                <c:pt idx="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212928"/>
        <c:axId val="207214464"/>
      </c:barChart>
      <c:catAx>
        <c:axId val="207212928"/>
        <c:scaling>
          <c:orientation val="minMax"/>
        </c:scaling>
        <c:delete val="1"/>
        <c:axPos val="b"/>
        <c:majorTickMark val="none"/>
        <c:minorTickMark val="none"/>
        <c:tickLblPos val="nextTo"/>
        <c:crossAx val="207214464"/>
        <c:crosses val="autoZero"/>
        <c:auto val="1"/>
        <c:lblAlgn val="ctr"/>
        <c:lblOffset val="100"/>
        <c:noMultiLvlLbl val="1"/>
      </c:catAx>
      <c:valAx>
        <c:axId val="207214464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207212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Daily Bookings Trend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'3_Summary'!$B$9</c:f>
              <c:strCache>
                <c:ptCount val="1"/>
                <c:pt idx="0">
                  <c:v>Bookings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'3_Summary'!$A$10:$A$29</c:f>
              <c:numCache>
                <c:formatCode>dd\-mmm</c:formatCode>
                <c:ptCount val="20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46039</c:v>
                </c:pt>
                <c:pt idx="13">
                  <c:v>46040</c:v>
                </c:pt>
                <c:pt idx="14">
                  <c:v>46041</c:v>
                </c:pt>
                <c:pt idx="15">
                  <c:v>46042</c:v>
                </c:pt>
                <c:pt idx="16">
                  <c:v>46043</c:v>
                </c:pt>
                <c:pt idx="17">
                  <c:v>46044</c:v>
                </c:pt>
                <c:pt idx="18">
                  <c:v>46045</c:v>
                </c:pt>
                <c:pt idx="19">
                  <c:v>46046</c:v>
                </c:pt>
              </c:numCache>
            </c:numRef>
          </c:cat>
          <c:val>
            <c:numRef>
              <c:f>'3_Summary'!$B$10:$B$29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47808"/>
        <c:axId val="209849728"/>
      </c:lineChart>
      <c:dateAx>
        <c:axId val="209847808"/>
        <c:scaling>
          <c:orientation val="minMax"/>
        </c:scaling>
        <c:delete val="1"/>
        <c:axPos val="b"/>
        <c:numFmt formatCode="dd\-mmm" sourceLinked="1"/>
        <c:majorTickMark val="none"/>
        <c:minorTickMark val="none"/>
        <c:tickLblPos val="nextTo"/>
        <c:crossAx val="209849728"/>
        <c:crosses val="autoZero"/>
        <c:auto val="1"/>
        <c:lblOffset val="100"/>
        <c:baseTimeUnit val="days"/>
      </c:dateAx>
      <c:valAx>
        <c:axId val="20984972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Bookings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09847808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360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57150</xdr:colOff>
      <xdr:row>8</xdr:row>
      <xdr:rowOff>76200</xdr:rowOff>
    </xdr:from>
    <xdr:ext cx="468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660400</xdr:colOff>
      <xdr:row>18</xdr:row>
      <xdr:rowOff>254000</xdr:rowOff>
    </xdr:from>
    <xdr:ext cx="4680000" cy="288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120650</xdr:colOff>
      <xdr:row>19</xdr:row>
      <xdr:rowOff>44450</xdr:rowOff>
    </xdr:from>
    <xdr:ext cx="4680000" cy="288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3" customWidth="1"/>
    <col min="2" max="2" width="12" customWidth="1"/>
    <col min="3" max="3" width="20" customWidth="1"/>
    <col min="4" max="6" width="14" customWidth="1"/>
    <col min="7" max="7" width="15" customWidth="1"/>
    <col min="8" max="8" width="13" customWidth="1"/>
    <col min="9" max="9" width="15" customWidth="1"/>
    <col min="10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46027</v>
      </c>
      <c r="H2" s="2" t="s">
        <v>16</v>
      </c>
      <c r="I2" s="4">
        <v>4200</v>
      </c>
      <c r="J2" s="2" t="s">
        <v>17</v>
      </c>
    </row>
    <row r="3" spans="1:10">
      <c r="A3" s="2" t="s">
        <v>18</v>
      </c>
      <c r="B3" s="2" t="s">
        <v>19</v>
      </c>
      <c r="C3" s="2" t="s">
        <v>20</v>
      </c>
      <c r="D3" s="2" t="s">
        <v>21</v>
      </c>
      <c r="E3" s="2" t="s">
        <v>15</v>
      </c>
      <c r="F3" s="2" t="s">
        <v>14</v>
      </c>
      <c r="G3" s="3">
        <v>46028</v>
      </c>
      <c r="H3" s="2" t="s">
        <v>16</v>
      </c>
      <c r="I3" s="4">
        <v>8500</v>
      </c>
      <c r="J3" s="2" t="s">
        <v>17</v>
      </c>
    </row>
    <row r="4" spans="1:10">
      <c r="A4" s="2" t="s">
        <v>22</v>
      </c>
      <c r="B4" s="2" t="s">
        <v>23</v>
      </c>
      <c r="C4" s="2" t="s">
        <v>24</v>
      </c>
      <c r="D4" s="2" t="s">
        <v>25</v>
      </c>
      <c r="E4" s="2" t="s">
        <v>14</v>
      </c>
      <c r="F4" s="2" t="s">
        <v>26</v>
      </c>
      <c r="G4" s="3">
        <v>46029</v>
      </c>
      <c r="H4" s="2" t="s">
        <v>16</v>
      </c>
      <c r="I4" s="4">
        <v>9800</v>
      </c>
      <c r="J4" s="2" t="s">
        <v>17</v>
      </c>
    </row>
    <row r="5" spans="1:10">
      <c r="A5" s="2" t="s">
        <v>27</v>
      </c>
      <c r="B5" s="2" t="s">
        <v>28</v>
      </c>
      <c r="C5" s="2" t="s">
        <v>29</v>
      </c>
      <c r="D5" s="2" t="s">
        <v>30</v>
      </c>
      <c r="E5" s="2" t="s">
        <v>26</v>
      </c>
      <c r="F5" s="2" t="s">
        <v>14</v>
      </c>
      <c r="G5" s="3">
        <v>46030</v>
      </c>
      <c r="H5" s="2" t="s">
        <v>31</v>
      </c>
      <c r="I5" s="4">
        <v>10700</v>
      </c>
      <c r="J5" s="2" t="s">
        <v>32</v>
      </c>
    </row>
    <row r="6" spans="1:10">
      <c r="A6" s="2" t="s">
        <v>33</v>
      </c>
      <c r="B6" s="2" t="s">
        <v>34</v>
      </c>
      <c r="C6" s="2" t="s">
        <v>35</v>
      </c>
      <c r="D6" s="2" t="s">
        <v>36</v>
      </c>
      <c r="E6" s="2" t="s">
        <v>15</v>
      </c>
      <c r="F6" s="2" t="s">
        <v>37</v>
      </c>
      <c r="G6" s="3">
        <v>46031</v>
      </c>
      <c r="H6" s="2" t="s">
        <v>16</v>
      </c>
      <c r="I6" s="4">
        <v>5800</v>
      </c>
      <c r="J6" s="2" t="s">
        <v>17</v>
      </c>
    </row>
    <row r="7" spans="1:10">
      <c r="A7" s="2" t="s">
        <v>38</v>
      </c>
      <c r="B7" s="2" t="s">
        <v>39</v>
      </c>
      <c r="C7" s="2" t="s">
        <v>40</v>
      </c>
      <c r="D7" s="2" t="s">
        <v>13</v>
      </c>
      <c r="E7" s="2" t="s">
        <v>37</v>
      </c>
      <c r="F7" s="2" t="s">
        <v>15</v>
      </c>
      <c r="G7" s="3">
        <v>46032</v>
      </c>
      <c r="H7" s="2" t="s">
        <v>16</v>
      </c>
      <c r="I7" s="4">
        <v>9800</v>
      </c>
      <c r="J7" s="2" t="s">
        <v>17</v>
      </c>
    </row>
    <row r="8" spans="1:10">
      <c r="A8" s="2" t="s">
        <v>41</v>
      </c>
      <c r="B8" s="2" t="s">
        <v>42</v>
      </c>
      <c r="C8" s="2" t="s">
        <v>43</v>
      </c>
      <c r="D8" s="2" t="s">
        <v>21</v>
      </c>
      <c r="E8" s="2" t="s">
        <v>14</v>
      </c>
      <c r="F8" s="2" t="s">
        <v>44</v>
      </c>
      <c r="G8" s="3">
        <v>46033</v>
      </c>
      <c r="H8" s="2" t="s">
        <v>16</v>
      </c>
      <c r="I8" s="4">
        <v>9800</v>
      </c>
      <c r="J8" s="2" t="s">
        <v>17</v>
      </c>
    </row>
    <row r="9" spans="1:10">
      <c r="A9" s="2" t="s">
        <v>45</v>
      </c>
      <c r="B9" s="2" t="s">
        <v>46</v>
      </c>
      <c r="C9" s="2" t="s">
        <v>47</v>
      </c>
      <c r="D9" s="2" t="s">
        <v>25</v>
      </c>
      <c r="E9" s="2" t="s">
        <v>44</v>
      </c>
      <c r="F9" s="2" t="s">
        <v>14</v>
      </c>
      <c r="G9" s="3">
        <v>46034</v>
      </c>
      <c r="H9" s="2" t="s">
        <v>31</v>
      </c>
      <c r="I9" s="4">
        <v>13000</v>
      </c>
      <c r="J9" s="2" t="s">
        <v>32</v>
      </c>
    </row>
    <row r="10" spans="1:10">
      <c r="A10" s="2" t="s">
        <v>48</v>
      </c>
      <c r="B10" s="2" t="s">
        <v>49</v>
      </c>
      <c r="C10" s="2" t="s">
        <v>50</v>
      </c>
      <c r="D10" s="2" t="s">
        <v>30</v>
      </c>
      <c r="E10" s="2" t="s">
        <v>15</v>
      </c>
      <c r="F10" s="2" t="s">
        <v>26</v>
      </c>
      <c r="G10" s="3">
        <v>46035</v>
      </c>
      <c r="H10" s="2" t="s">
        <v>16</v>
      </c>
      <c r="I10" s="4">
        <v>5200</v>
      </c>
      <c r="J10" s="2" t="s">
        <v>17</v>
      </c>
    </row>
    <row r="11" spans="1:10">
      <c r="A11" s="2" t="s">
        <v>51</v>
      </c>
      <c r="B11" s="2" t="s">
        <v>52</v>
      </c>
      <c r="C11" s="2" t="s">
        <v>53</v>
      </c>
      <c r="D11" s="2" t="s">
        <v>36</v>
      </c>
      <c r="E11" s="2" t="s">
        <v>26</v>
      </c>
      <c r="F11" s="2" t="s">
        <v>15</v>
      </c>
      <c r="G11" s="3">
        <v>46036</v>
      </c>
      <c r="H11" s="2" t="s">
        <v>16</v>
      </c>
      <c r="I11" s="4">
        <v>4200</v>
      </c>
      <c r="J11" s="2" t="s">
        <v>17</v>
      </c>
    </row>
    <row r="12" spans="1:10">
      <c r="A12" s="2" t="s">
        <v>54</v>
      </c>
      <c r="B12" s="2" t="s">
        <v>55</v>
      </c>
      <c r="C12" s="2" t="s">
        <v>56</v>
      </c>
      <c r="D12" s="2" t="s">
        <v>13</v>
      </c>
      <c r="E12" s="2" t="s">
        <v>14</v>
      </c>
      <c r="F12" s="2" t="s">
        <v>15</v>
      </c>
      <c r="G12" s="3">
        <v>46037</v>
      </c>
      <c r="H12" s="2" t="s">
        <v>16</v>
      </c>
      <c r="I12" s="4">
        <v>9800</v>
      </c>
      <c r="J12" s="2" t="s">
        <v>17</v>
      </c>
    </row>
    <row r="13" spans="1:10">
      <c r="A13" s="2" t="s">
        <v>57</v>
      </c>
      <c r="B13" s="2" t="s">
        <v>58</v>
      </c>
      <c r="C13" s="2" t="s">
        <v>59</v>
      </c>
      <c r="D13" s="2" t="s">
        <v>21</v>
      </c>
      <c r="E13" s="2" t="s">
        <v>15</v>
      </c>
      <c r="F13" s="2" t="s">
        <v>14</v>
      </c>
      <c r="G13" s="3">
        <v>46038</v>
      </c>
      <c r="H13" s="2" t="s">
        <v>31</v>
      </c>
      <c r="I13" s="4">
        <v>13700</v>
      </c>
      <c r="J13" s="2" t="s">
        <v>32</v>
      </c>
    </row>
    <row r="14" spans="1:10">
      <c r="A14" s="2" t="s">
        <v>60</v>
      </c>
      <c r="B14" s="2" t="s">
        <v>61</v>
      </c>
      <c r="C14" s="2" t="s">
        <v>62</v>
      </c>
      <c r="D14" s="2" t="s">
        <v>25</v>
      </c>
      <c r="E14" s="2" t="s">
        <v>14</v>
      </c>
      <c r="F14" s="2" t="s">
        <v>26</v>
      </c>
      <c r="G14" s="3">
        <v>46039</v>
      </c>
      <c r="H14" s="2" t="s">
        <v>16</v>
      </c>
      <c r="I14" s="4">
        <v>4800</v>
      </c>
      <c r="J14" s="2" t="s">
        <v>17</v>
      </c>
    </row>
    <row r="15" spans="1:10">
      <c r="A15" s="2" t="s">
        <v>63</v>
      </c>
      <c r="B15" s="2" t="s">
        <v>64</v>
      </c>
      <c r="C15" s="2" t="s">
        <v>65</v>
      </c>
      <c r="D15" s="2" t="s">
        <v>30</v>
      </c>
      <c r="E15" s="2" t="s">
        <v>26</v>
      </c>
      <c r="F15" s="2" t="s">
        <v>14</v>
      </c>
      <c r="G15" s="3">
        <v>46040</v>
      </c>
      <c r="H15" s="2" t="s">
        <v>16</v>
      </c>
      <c r="I15" s="4">
        <v>5800</v>
      </c>
      <c r="J15" s="2" t="s">
        <v>17</v>
      </c>
    </row>
    <row r="16" spans="1:10">
      <c r="A16" s="2" t="s">
        <v>66</v>
      </c>
      <c r="B16" s="2" t="s">
        <v>67</v>
      </c>
      <c r="C16" s="2" t="s">
        <v>68</v>
      </c>
      <c r="D16" s="2" t="s">
        <v>36</v>
      </c>
      <c r="E16" s="2" t="s">
        <v>15</v>
      </c>
      <c r="F16" s="2" t="s">
        <v>37</v>
      </c>
      <c r="G16" s="3">
        <v>46041</v>
      </c>
      <c r="H16" s="2" t="s">
        <v>16</v>
      </c>
      <c r="I16" s="4">
        <v>7200</v>
      </c>
      <c r="J16" s="2" t="s">
        <v>17</v>
      </c>
    </row>
    <row r="17" spans="1:10">
      <c r="A17" s="2" t="s">
        <v>69</v>
      </c>
      <c r="B17" s="2" t="s">
        <v>70</v>
      </c>
      <c r="C17" s="2" t="s">
        <v>71</v>
      </c>
      <c r="D17" s="2" t="s">
        <v>13</v>
      </c>
      <c r="E17" s="2" t="s">
        <v>37</v>
      </c>
      <c r="F17" s="2" t="s">
        <v>15</v>
      </c>
      <c r="G17" s="3">
        <v>46042</v>
      </c>
      <c r="H17" s="2" t="s">
        <v>31</v>
      </c>
      <c r="I17" s="4">
        <v>10700</v>
      </c>
      <c r="J17" s="2" t="s">
        <v>32</v>
      </c>
    </row>
    <row r="18" spans="1:10">
      <c r="A18" s="2" t="s">
        <v>72</v>
      </c>
      <c r="B18" s="2" t="s">
        <v>73</v>
      </c>
      <c r="C18" s="2" t="s">
        <v>74</v>
      </c>
      <c r="D18" s="2" t="s">
        <v>21</v>
      </c>
      <c r="E18" s="2" t="s">
        <v>14</v>
      </c>
      <c r="F18" s="2" t="s">
        <v>44</v>
      </c>
      <c r="G18" s="3">
        <v>46043</v>
      </c>
      <c r="H18" s="2" t="s">
        <v>16</v>
      </c>
      <c r="I18" s="4">
        <v>8500</v>
      </c>
      <c r="J18" s="2" t="s">
        <v>17</v>
      </c>
    </row>
    <row r="19" spans="1:10">
      <c r="A19" s="2" t="s">
        <v>75</v>
      </c>
      <c r="B19" s="2" t="s">
        <v>76</v>
      </c>
      <c r="C19" s="2" t="s">
        <v>77</v>
      </c>
      <c r="D19" s="2" t="s">
        <v>25</v>
      </c>
      <c r="E19" s="2" t="s">
        <v>44</v>
      </c>
      <c r="F19" s="2" t="s">
        <v>14</v>
      </c>
      <c r="G19" s="3">
        <v>46044</v>
      </c>
      <c r="H19" s="2" t="s">
        <v>16</v>
      </c>
      <c r="I19" s="4">
        <v>5200</v>
      </c>
      <c r="J19" s="2" t="s">
        <v>17</v>
      </c>
    </row>
    <row r="20" spans="1:10">
      <c r="A20" s="2" t="s">
        <v>78</v>
      </c>
      <c r="B20" s="2" t="s">
        <v>79</v>
      </c>
      <c r="C20" s="2" t="s">
        <v>80</v>
      </c>
      <c r="D20" s="2" t="s">
        <v>30</v>
      </c>
      <c r="E20" s="2" t="s">
        <v>15</v>
      </c>
      <c r="F20" s="2" t="s">
        <v>26</v>
      </c>
      <c r="G20" s="3">
        <v>46045</v>
      </c>
      <c r="H20" s="2" t="s">
        <v>16</v>
      </c>
      <c r="I20" s="4">
        <v>7200</v>
      </c>
      <c r="J20" s="2" t="s">
        <v>17</v>
      </c>
    </row>
    <row r="21" spans="1:10">
      <c r="A21" s="2" t="s">
        <v>81</v>
      </c>
      <c r="B21" s="2" t="s">
        <v>82</v>
      </c>
      <c r="C21" s="2" t="s">
        <v>83</v>
      </c>
      <c r="D21" s="2" t="s">
        <v>36</v>
      </c>
      <c r="E21" s="2" t="s">
        <v>26</v>
      </c>
      <c r="F21" s="2" t="s">
        <v>15</v>
      </c>
      <c r="G21" s="3">
        <v>46046</v>
      </c>
      <c r="H21" s="2" t="s">
        <v>31</v>
      </c>
      <c r="I21" s="4">
        <v>15000</v>
      </c>
      <c r="J21" s="2" t="s">
        <v>32</v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sqref="A1:D1"/>
    </sheetView>
  </sheetViews>
  <sheetFormatPr defaultRowHeight="14.5"/>
  <cols>
    <col min="1" max="4" width="20" customWidth="1"/>
    <col min="6" max="8" width="20" customWidth="1"/>
  </cols>
  <sheetData>
    <row r="1" spans="1:8" ht="21">
      <c r="A1" s="10" t="s">
        <v>84</v>
      </c>
      <c r="B1" s="11"/>
      <c r="C1" s="11"/>
      <c r="D1" s="11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5" t="s">
        <v>85</v>
      </c>
      <c r="B3" s="6">
        <f>COUNTA('1_Raw_Data'!B2:B21)</f>
        <v>20</v>
      </c>
      <c r="C3" s="2"/>
      <c r="D3" s="2"/>
      <c r="E3" s="2"/>
      <c r="F3" s="2"/>
      <c r="G3" s="2"/>
      <c r="H3" s="2"/>
    </row>
    <row r="4" spans="1:8">
      <c r="A4" s="5" t="s">
        <v>86</v>
      </c>
      <c r="B4" s="6">
        <f>COUNTIF('1_Raw_Data'!J2:J21,"Confirmed")</f>
        <v>15</v>
      </c>
      <c r="C4" s="2"/>
      <c r="D4" s="2"/>
      <c r="E4" s="2"/>
      <c r="F4" s="2"/>
      <c r="G4" s="2"/>
      <c r="H4" s="2"/>
    </row>
    <row r="5" spans="1:8">
      <c r="A5" s="5" t="s">
        <v>87</v>
      </c>
      <c r="B5" s="6">
        <f>COUNTIF('1_Raw_Data'!J2:J21,"Cancelled")</f>
        <v>5</v>
      </c>
      <c r="C5" s="2"/>
      <c r="D5" s="2"/>
      <c r="E5" s="2"/>
      <c r="F5" s="2"/>
      <c r="G5" s="2"/>
      <c r="H5" s="2"/>
    </row>
    <row r="6" spans="1:8">
      <c r="A6" s="5" t="s">
        <v>88</v>
      </c>
      <c r="B6" s="7">
        <f>SUMIF('1_Raw_Data'!J2:J21,"Confirmed",'1_Raw_Data'!I2:I21)</f>
        <v>105800</v>
      </c>
      <c r="C6" s="2"/>
      <c r="D6" s="2"/>
      <c r="E6" s="2"/>
      <c r="F6" s="2"/>
      <c r="G6" s="2"/>
      <c r="H6" s="2"/>
    </row>
    <row r="7" spans="1:8">
      <c r="A7" s="5" t="s">
        <v>89</v>
      </c>
      <c r="B7" s="7">
        <f>AVERAGE('1_Raw_Data'!I2:I21)</f>
        <v>8445</v>
      </c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8" t="s">
        <v>3</v>
      </c>
      <c r="B10" s="8" t="s">
        <v>90</v>
      </c>
      <c r="C10" s="8" t="s">
        <v>17</v>
      </c>
      <c r="D10" s="8" t="s">
        <v>91</v>
      </c>
      <c r="E10" s="2"/>
      <c r="F10" s="8" t="s">
        <v>92</v>
      </c>
      <c r="G10" s="8" t="s">
        <v>90</v>
      </c>
      <c r="H10" s="8" t="s">
        <v>91</v>
      </c>
    </row>
    <row r="11" spans="1:8">
      <c r="A11" s="2" t="s">
        <v>13</v>
      </c>
      <c r="B11" s="2">
        <f>COUNTIF('1_Raw_Data'!D2:D21,A11)</f>
        <v>4</v>
      </c>
      <c r="C11" s="2">
        <f>COUNTIFS('1_Raw_Data'!D2:D21,A11,'1_Raw_Data'!J2:J21,"Confirmed")</f>
        <v>3</v>
      </c>
      <c r="D11" s="4">
        <f>SUMIFS('1_Raw_Data'!I2:I21,'1_Raw_Data'!D2:D21,A11,'1_Raw_Data'!J2:J21,"Confirmed")</f>
        <v>23800</v>
      </c>
      <c r="E11" s="2"/>
      <c r="F11" s="2" t="s">
        <v>93</v>
      </c>
      <c r="G11" s="2">
        <f>COUNTIFS('1_Raw_Data'!E2:E21,"Bengaluru",'1_Raw_Data'!F2:F21,"Delhi")</f>
        <v>2</v>
      </c>
      <c r="H11" s="4">
        <f>SUMIFS('1_Raw_Data'!I2:I21,'1_Raw_Data'!E2:E21,"Bengaluru",'1_Raw_Data'!F2:F21,"Delhi",'1_Raw_Data'!J2:J21,"Confirmed")</f>
        <v>5800</v>
      </c>
    </row>
    <row r="12" spans="1:8">
      <c r="A12" s="2" t="s">
        <v>21</v>
      </c>
      <c r="B12" s="2">
        <f>COUNTIF('1_Raw_Data'!D2:D21,A12)</f>
        <v>4</v>
      </c>
      <c r="C12" s="2">
        <f>COUNTIFS('1_Raw_Data'!D2:D21,A12,'1_Raw_Data'!J2:J21,"Confirmed")</f>
        <v>3</v>
      </c>
      <c r="D12" s="4">
        <f>SUMIFS('1_Raw_Data'!I2:I21,'1_Raw_Data'!D2:D21,A12,'1_Raw_Data'!J2:J21,"Confirmed")</f>
        <v>26800</v>
      </c>
      <c r="E12" s="2"/>
      <c r="F12" s="2" t="s">
        <v>94</v>
      </c>
      <c r="G12" s="2">
        <f>COUNTIFS('1_Raw_Data'!E2:E21,"Bengaluru",'1_Raw_Data'!F2:F21,"Mumbai")</f>
        <v>2</v>
      </c>
      <c r="H12" s="4">
        <f>SUMIFS('1_Raw_Data'!I2:I21,'1_Raw_Data'!E2:E21,"Bengaluru",'1_Raw_Data'!F2:F21,"Mumbai",'1_Raw_Data'!J2:J21,"Confirmed")</f>
        <v>4200</v>
      </c>
    </row>
    <row r="13" spans="1:8">
      <c r="A13" s="2" t="s">
        <v>25</v>
      </c>
      <c r="B13" s="2">
        <f>COUNTIF('1_Raw_Data'!D2:D21,A13)</f>
        <v>4</v>
      </c>
      <c r="C13" s="2">
        <f>COUNTIFS('1_Raw_Data'!D2:D21,A13,'1_Raw_Data'!J2:J21,"Confirmed")</f>
        <v>3</v>
      </c>
      <c r="D13" s="4">
        <f>SUMIFS('1_Raw_Data'!I2:I21,'1_Raw_Data'!D2:D21,A13,'1_Raw_Data'!J2:J21,"Confirmed")</f>
        <v>19800</v>
      </c>
      <c r="E13" s="2"/>
      <c r="F13" s="2" t="s">
        <v>95</v>
      </c>
      <c r="G13" s="2">
        <f>COUNTIFS('1_Raw_Data'!E2:E21,"Delhi",'1_Raw_Data'!F2:F21,"Bengaluru")</f>
        <v>2</v>
      </c>
      <c r="H13" s="4">
        <f>SUMIFS('1_Raw_Data'!I2:I21,'1_Raw_Data'!E2:E21,"Delhi",'1_Raw_Data'!F2:F21,"Bengaluru",'1_Raw_Data'!J2:J21,"Confirmed")</f>
        <v>14600</v>
      </c>
    </row>
    <row r="14" spans="1:8">
      <c r="A14" s="2" t="s">
        <v>30</v>
      </c>
      <c r="B14" s="2">
        <f>COUNTIF('1_Raw_Data'!D2:D21,A14)</f>
        <v>4</v>
      </c>
      <c r="C14" s="2">
        <f>COUNTIFS('1_Raw_Data'!D2:D21,A14,'1_Raw_Data'!J2:J21,"Confirmed")</f>
        <v>3</v>
      </c>
      <c r="D14" s="4">
        <f>SUMIFS('1_Raw_Data'!I2:I21,'1_Raw_Data'!D2:D21,A14,'1_Raw_Data'!J2:J21,"Confirmed")</f>
        <v>18200</v>
      </c>
      <c r="E14" s="2"/>
      <c r="F14" s="2" t="s">
        <v>96</v>
      </c>
      <c r="G14" s="2">
        <f>COUNTIFS('1_Raw_Data'!E2:E21,"Delhi",'1_Raw_Data'!F2:F21,"Hyderabad")</f>
        <v>2</v>
      </c>
      <c r="H14" s="4">
        <f>SUMIFS('1_Raw_Data'!I2:I21,'1_Raw_Data'!E2:E21,"Delhi",'1_Raw_Data'!F2:F21,"Hyderabad",'1_Raw_Data'!J2:J21,"Confirmed")</f>
        <v>18300</v>
      </c>
    </row>
    <row r="15" spans="1:8">
      <c r="A15" s="2" t="s">
        <v>36</v>
      </c>
      <c r="B15" s="2">
        <f>COUNTIF('1_Raw_Data'!D2:D21,A15)</f>
        <v>4</v>
      </c>
      <c r="C15" s="2">
        <f>COUNTIFS('1_Raw_Data'!D2:D21,A15,'1_Raw_Data'!J2:J21,"Confirmed")</f>
        <v>3</v>
      </c>
      <c r="D15" s="4">
        <f>SUMIFS('1_Raw_Data'!I2:I21,'1_Raw_Data'!D2:D21,A15,'1_Raw_Data'!J2:J21,"Confirmed")</f>
        <v>17200</v>
      </c>
      <c r="E15" s="2"/>
      <c r="F15" s="2" t="s">
        <v>97</v>
      </c>
      <c r="G15" s="2">
        <f>COUNTIFS('1_Raw_Data'!E2:E21,"Delhi",'1_Raw_Data'!F2:F21,"Mumbai")</f>
        <v>2</v>
      </c>
      <c r="H15" s="4">
        <f>SUMIFS('1_Raw_Data'!I2:I21,'1_Raw_Data'!E2:E21,"Delhi",'1_Raw_Data'!F2:F21,"Mumbai",'1_Raw_Data'!J2:J21,"Confirmed")</f>
        <v>14000</v>
      </c>
    </row>
    <row r="16" spans="1:8">
      <c r="A16" s="2"/>
      <c r="B16" s="2"/>
      <c r="C16" s="2"/>
      <c r="D16" s="2"/>
      <c r="E16" s="2"/>
      <c r="F16" s="2" t="s">
        <v>98</v>
      </c>
      <c r="G16" s="2">
        <f>COUNTIFS('1_Raw_Data'!E2:E21,"Hyderabad",'1_Raw_Data'!F2:F21,"Delhi")</f>
        <v>2</v>
      </c>
      <c r="H16" s="4">
        <f>SUMIFS('1_Raw_Data'!I2:I21,'1_Raw_Data'!E2:E21,"Hyderabad",'1_Raw_Data'!F2:F21,"Delhi",'1_Raw_Data'!J2:J21,"Confirmed")</f>
        <v>5200</v>
      </c>
    </row>
    <row r="17" spans="1:8">
      <c r="A17" s="2"/>
      <c r="B17" s="2"/>
      <c r="C17" s="2"/>
      <c r="D17" s="2"/>
      <c r="E17" s="2"/>
      <c r="F17" s="2" t="s">
        <v>99</v>
      </c>
      <c r="G17" s="2">
        <f>COUNTIFS('1_Raw_Data'!E2:E21,"Kolkata",'1_Raw_Data'!F2:F21,"Mumbai")</f>
        <v>2</v>
      </c>
      <c r="H17" s="4">
        <f>SUMIFS('1_Raw_Data'!I2:I21,'1_Raw_Data'!E2:E21,"Kolkata",'1_Raw_Data'!F2:F21,"Mumbai",'1_Raw_Data'!J2:J21,"Confirmed")</f>
        <v>9800</v>
      </c>
    </row>
    <row r="18" spans="1:8">
      <c r="A18" s="2"/>
      <c r="B18" s="2"/>
      <c r="C18" s="2"/>
      <c r="D18" s="2"/>
      <c r="E18" s="2"/>
      <c r="F18" s="2" t="s">
        <v>100</v>
      </c>
      <c r="G18" s="2">
        <f>COUNTIFS('1_Raw_Data'!E2:E21,"Mumbai",'1_Raw_Data'!F2:F21,"Bengaluru")</f>
        <v>2</v>
      </c>
      <c r="H18" s="4">
        <f>SUMIFS('1_Raw_Data'!I2:I21,'1_Raw_Data'!E2:E21,"Mumbai",'1_Raw_Data'!F2:F21,"Bengaluru",'1_Raw_Data'!J2:J21,"Confirmed")</f>
        <v>12400</v>
      </c>
    </row>
    <row r="19" spans="1:8">
      <c r="A19" s="2"/>
      <c r="B19" s="2"/>
      <c r="C19" s="2"/>
      <c r="D19" s="2"/>
      <c r="E19" s="2"/>
      <c r="F19" s="2" t="s">
        <v>101</v>
      </c>
      <c r="G19" s="2">
        <f>COUNTIFS('1_Raw_Data'!E2:E21,"Mumbai",'1_Raw_Data'!F2:F21,"Delhi")</f>
        <v>2</v>
      </c>
      <c r="H19" s="4">
        <f>SUMIFS('1_Raw_Data'!I2:I21,'1_Raw_Data'!E2:E21,"Mumbai",'1_Raw_Data'!F2:F21,"Delhi",'1_Raw_Data'!J2:J21,"Confirmed")</f>
        <v>8500</v>
      </c>
    </row>
    <row r="20" spans="1:8">
      <c r="A20" s="2"/>
      <c r="B20" s="2"/>
      <c r="C20" s="2"/>
      <c r="D20" s="2"/>
      <c r="E20" s="2"/>
      <c r="F20" s="2" t="s">
        <v>102</v>
      </c>
      <c r="G20" s="2">
        <f>COUNTIFS('1_Raw_Data'!E2:E21,"Mumbai",'1_Raw_Data'!F2:F21,"Kolkata")</f>
        <v>2</v>
      </c>
      <c r="H20" s="4">
        <f>SUMIFS('1_Raw_Data'!I2:I21,'1_Raw_Data'!E2:E21,"Mumbai",'1_Raw_Data'!F2:F21,"Kolkata",'1_Raw_Data'!J2:J21,"Confirmed")</f>
        <v>13000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sqref="A1:H1"/>
    </sheetView>
  </sheetViews>
  <sheetFormatPr defaultRowHeight="14.5"/>
  <sheetData>
    <row r="1" spans="1:8" ht="21">
      <c r="A1" s="10" t="s">
        <v>103</v>
      </c>
      <c r="B1" s="11"/>
      <c r="C1" s="11"/>
      <c r="D1" s="11"/>
      <c r="E1" s="11"/>
      <c r="F1" s="11"/>
      <c r="G1" s="11"/>
      <c r="H1" s="1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8" t="s">
        <v>9</v>
      </c>
      <c r="B3" s="8" t="s">
        <v>90</v>
      </c>
      <c r="C3" s="2"/>
      <c r="D3" s="8" t="s">
        <v>104</v>
      </c>
      <c r="E3" s="8" t="s">
        <v>90</v>
      </c>
      <c r="F3" s="8" t="s">
        <v>91</v>
      </c>
      <c r="G3" s="2"/>
      <c r="H3" s="2"/>
    </row>
    <row r="4" spans="1:8">
      <c r="A4" s="2" t="s">
        <v>17</v>
      </c>
      <c r="B4" s="2">
        <f>COUNTIF('1_Raw_Data'!J2:J21,A4)</f>
        <v>15</v>
      </c>
      <c r="C4" s="2"/>
      <c r="D4" s="2" t="s">
        <v>16</v>
      </c>
      <c r="E4" s="2">
        <f>COUNTIF('1_Raw_Data'!H2:H21,D4)</f>
        <v>15</v>
      </c>
      <c r="F4" s="4">
        <f>SUMIFS('1_Raw_Data'!I2:I21,'1_Raw_Data'!H2:H21,D4,'1_Raw_Data'!J2:J21,"Confirmed")</f>
        <v>105800</v>
      </c>
      <c r="G4" s="2"/>
      <c r="H4" s="2"/>
    </row>
    <row r="5" spans="1:8">
      <c r="A5" s="2" t="s">
        <v>32</v>
      </c>
      <c r="B5" s="2">
        <f>COUNTIF('1_Raw_Data'!J2:J21,A5)</f>
        <v>5</v>
      </c>
      <c r="C5" s="2"/>
      <c r="D5" s="2" t="s">
        <v>31</v>
      </c>
      <c r="E5" s="2">
        <f>COUNTIF('1_Raw_Data'!H2:H21,D5)</f>
        <v>5</v>
      </c>
      <c r="F5" s="4">
        <f>SUMIFS('1_Raw_Data'!I2:I21,'1_Raw_Data'!H2:H21,D5,'1_Raw_Data'!J2:J21,"Confirmed")</f>
        <v>0</v>
      </c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8" t="s">
        <v>105</v>
      </c>
      <c r="B9" s="8" t="s">
        <v>90</v>
      </c>
      <c r="C9" s="8" t="s">
        <v>91</v>
      </c>
      <c r="D9" s="2"/>
      <c r="E9" s="2"/>
      <c r="F9" s="2"/>
      <c r="G9" s="2"/>
      <c r="H9" s="2"/>
    </row>
    <row r="10" spans="1:8">
      <c r="A10" s="9">
        <v>46027</v>
      </c>
      <c r="B10" s="2">
        <f>COUNTIF('1_Raw_Data'!G2:G21,A10)</f>
        <v>1</v>
      </c>
      <c r="C10" s="4">
        <f>SUMIFS('1_Raw_Data'!I2:I21,'1_Raw_Data'!G2:G21,A10,'1_Raw_Data'!J2:J21,"Confirmed")</f>
        <v>4200</v>
      </c>
      <c r="D10" s="2"/>
      <c r="E10" s="2"/>
      <c r="F10" s="2"/>
      <c r="G10" s="2"/>
      <c r="H10" s="2"/>
    </row>
    <row r="11" spans="1:8">
      <c r="A11" s="9">
        <v>46028</v>
      </c>
      <c r="B11" s="2">
        <f>COUNTIF('1_Raw_Data'!G2:G21,A11)</f>
        <v>1</v>
      </c>
      <c r="C11" s="4">
        <f>SUMIFS('1_Raw_Data'!I2:I21,'1_Raw_Data'!G2:G21,A11,'1_Raw_Data'!J2:J21,"Confirmed")</f>
        <v>8500</v>
      </c>
      <c r="D11" s="2"/>
      <c r="E11" s="2"/>
      <c r="F11" s="2"/>
      <c r="G11" s="2"/>
      <c r="H11" s="2"/>
    </row>
    <row r="12" spans="1:8">
      <c r="A12" s="9">
        <v>46029</v>
      </c>
      <c r="B12" s="2">
        <f>COUNTIF('1_Raw_Data'!G2:G21,A12)</f>
        <v>1</v>
      </c>
      <c r="C12" s="4">
        <f>SUMIFS('1_Raw_Data'!I2:I21,'1_Raw_Data'!G2:G21,A12,'1_Raw_Data'!J2:J21,"Confirmed")</f>
        <v>9800</v>
      </c>
      <c r="D12" s="2"/>
      <c r="E12" s="2"/>
      <c r="F12" s="2"/>
      <c r="G12" s="2"/>
      <c r="H12" s="2"/>
    </row>
    <row r="13" spans="1:8">
      <c r="A13" s="9">
        <v>46030</v>
      </c>
      <c r="B13" s="2">
        <f>COUNTIF('1_Raw_Data'!G2:G21,A13)</f>
        <v>1</v>
      </c>
      <c r="C13" s="4">
        <f>SUMIFS('1_Raw_Data'!I2:I21,'1_Raw_Data'!G2:G21,A13,'1_Raw_Data'!J2:J21,"Confirmed")</f>
        <v>0</v>
      </c>
      <c r="D13" s="2"/>
      <c r="E13" s="2"/>
      <c r="F13" s="2"/>
      <c r="G13" s="2"/>
      <c r="H13" s="2"/>
    </row>
    <row r="14" spans="1:8">
      <c r="A14" s="9">
        <v>46031</v>
      </c>
      <c r="B14" s="2">
        <f>COUNTIF('1_Raw_Data'!G2:G21,A14)</f>
        <v>1</v>
      </c>
      <c r="C14" s="4">
        <f>SUMIFS('1_Raw_Data'!I2:I21,'1_Raw_Data'!G2:G21,A14,'1_Raw_Data'!J2:J21,"Confirmed")</f>
        <v>5800</v>
      </c>
      <c r="D14" s="2"/>
      <c r="E14" s="2"/>
      <c r="F14" s="2"/>
      <c r="G14" s="2"/>
      <c r="H14" s="2"/>
    </row>
    <row r="15" spans="1:8">
      <c r="A15" s="9">
        <v>46032</v>
      </c>
      <c r="B15" s="2">
        <f>COUNTIF('1_Raw_Data'!G2:G21,A15)</f>
        <v>1</v>
      </c>
      <c r="C15" s="4">
        <f>SUMIFS('1_Raw_Data'!I2:I21,'1_Raw_Data'!G2:G21,A15,'1_Raw_Data'!J2:J21,"Confirmed")</f>
        <v>9800</v>
      </c>
      <c r="D15" s="2"/>
      <c r="E15" s="2"/>
      <c r="F15" s="2"/>
      <c r="G15" s="2"/>
      <c r="H15" s="2"/>
    </row>
    <row r="16" spans="1:8">
      <c r="A16" s="9">
        <v>46033</v>
      </c>
      <c r="B16" s="2">
        <f>COUNTIF('1_Raw_Data'!G2:G21,A16)</f>
        <v>1</v>
      </c>
      <c r="C16" s="4">
        <f>SUMIFS('1_Raw_Data'!I2:I21,'1_Raw_Data'!G2:G21,A16,'1_Raw_Data'!J2:J21,"Confirmed")</f>
        <v>9800</v>
      </c>
      <c r="D16" s="2"/>
      <c r="E16" s="2"/>
      <c r="F16" s="2"/>
      <c r="G16" s="2"/>
      <c r="H16" s="2"/>
    </row>
    <row r="17" spans="1:8">
      <c r="A17" s="9">
        <v>46034</v>
      </c>
      <c r="B17" s="2">
        <f>COUNTIF('1_Raw_Data'!G2:G21,A17)</f>
        <v>1</v>
      </c>
      <c r="C17" s="4">
        <f>SUMIFS('1_Raw_Data'!I2:I21,'1_Raw_Data'!G2:G21,A17,'1_Raw_Data'!J2:J21,"Confirmed")</f>
        <v>0</v>
      </c>
      <c r="D17" s="2"/>
      <c r="E17" s="2"/>
      <c r="F17" s="2"/>
      <c r="G17" s="2"/>
      <c r="H17" s="2"/>
    </row>
    <row r="18" spans="1:8">
      <c r="A18" s="9">
        <v>46035</v>
      </c>
      <c r="B18" s="2">
        <f>COUNTIF('1_Raw_Data'!G2:G21,A18)</f>
        <v>1</v>
      </c>
      <c r="C18" s="4">
        <f>SUMIFS('1_Raw_Data'!I2:I21,'1_Raw_Data'!G2:G21,A18,'1_Raw_Data'!J2:J21,"Confirmed")</f>
        <v>5200</v>
      </c>
      <c r="D18" s="2"/>
      <c r="E18" s="2"/>
      <c r="F18" s="2"/>
      <c r="G18" s="2"/>
      <c r="H18" s="2"/>
    </row>
    <row r="19" spans="1:8">
      <c r="A19" s="9">
        <v>46036</v>
      </c>
      <c r="B19" s="2">
        <f>COUNTIF('1_Raw_Data'!G2:G21,A19)</f>
        <v>1</v>
      </c>
      <c r="C19" s="4">
        <f>SUMIFS('1_Raw_Data'!I2:I21,'1_Raw_Data'!G2:G21,A19,'1_Raw_Data'!J2:J21,"Confirmed")</f>
        <v>4200</v>
      </c>
      <c r="D19" s="2"/>
      <c r="E19" s="2"/>
      <c r="F19" s="2"/>
      <c r="G19" s="2"/>
      <c r="H19" s="2"/>
    </row>
    <row r="20" spans="1:8">
      <c r="A20" s="9">
        <v>46037</v>
      </c>
      <c r="B20" s="2">
        <f>COUNTIF('1_Raw_Data'!G2:G21,A20)</f>
        <v>1</v>
      </c>
      <c r="C20" s="4">
        <f>SUMIFS('1_Raw_Data'!I2:I21,'1_Raw_Data'!G2:G21,A20,'1_Raw_Data'!J2:J21,"Confirmed")</f>
        <v>9800</v>
      </c>
      <c r="D20" s="2"/>
      <c r="E20" s="2"/>
      <c r="F20" s="2"/>
      <c r="G20" s="2"/>
      <c r="H20" s="2"/>
    </row>
    <row r="21" spans="1:8">
      <c r="A21" s="9">
        <v>46038</v>
      </c>
      <c r="B21" s="2">
        <f>COUNTIF('1_Raw_Data'!G2:G21,A21)</f>
        <v>1</v>
      </c>
      <c r="C21" s="4">
        <f>SUMIFS('1_Raw_Data'!I2:I21,'1_Raw_Data'!G2:G21,A21,'1_Raw_Data'!J2:J21,"Confirmed")</f>
        <v>0</v>
      </c>
      <c r="D21" s="2"/>
      <c r="E21" s="2"/>
      <c r="F21" s="2"/>
      <c r="G21" s="2"/>
      <c r="H21" s="2"/>
    </row>
    <row r="22" spans="1:8">
      <c r="A22" s="9">
        <v>46039</v>
      </c>
      <c r="B22" s="2">
        <f>COUNTIF('1_Raw_Data'!G2:G21,A22)</f>
        <v>1</v>
      </c>
      <c r="C22" s="4">
        <f>SUMIFS('1_Raw_Data'!I2:I21,'1_Raw_Data'!G2:G21,A22,'1_Raw_Data'!J2:J21,"Confirmed")</f>
        <v>4800</v>
      </c>
      <c r="D22" s="2"/>
      <c r="E22" s="2"/>
      <c r="F22" s="2"/>
      <c r="G22" s="2"/>
      <c r="H22" s="2"/>
    </row>
    <row r="23" spans="1:8">
      <c r="A23" s="9">
        <v>46040</v>
      </c>
      <c r="B23" s="2">
        <f>COUNTIF('1_Raw_Data'!G2:G21,A23)</f>
        <v>1</v>
      </c>
      <c r="C23" s="4">
        <f>SUMIFS('1_Raw_Data'!I2:I21,'1_Raw_Data'!G2:G21,A23,'1_Raw_Data'!J2:J21,"Confirmed")</f>
        <v>5800</v>
      </c>
      <c r="D23" s="2"/>
      <c r="E23" s="2"/>
      <c r="F23" s="2"/>
      <c r="G23" s="2"/>
      <c r="H23" s="2"/>
    </row>
    <row r="24" spans="1:8">
      <c r="A24" s="9">
        <v>46041</v>
      </c>
      <c r="B24" s="2">
        <f>COUNTIF('1_Raw_Data'!G2:G21,A24)</f>
        <v>1</v>
      </c>
      <c r="C24" s="4">
        <f>SUMIFS('1_Raw_Data'!I2:I21,'1_Raw_Data'!G2:G21,A24,'1_Raw_Data'!J2:J21,"Confirmed")</f>
        <v>7200</v>
      </c>
      <c r="D24" s="2"/>
      <c r="E24" s="2"/>
      <c r="F24" s="2"/>
      <c r="G24" s="2"/>
      <c r="H24" s="2"/>
    </row>
    <row r="25" spans="1:8">
      <c r="A25" s="9">
        <v>46042</v>
      </c>
      <c r="B25" s="2">
        <f>COUNTIF('1_Raw_Data'!G2:G21,A25)</f>
        <v>1</v>
      </c>
      <c r="C25" s="4">
        <f>SUMIFS('1_Raw_Data'!I2:I21,'1_Raw_Data'!G2:G21,A25,'1_Raw_Data'!J2:J21,"Confirmed")</f>
        <v>0</v>
      </c>
      <c r="D25" s="2"/>
      <c r="E25" s="2"/>
      <c r="F25" s="2"/>
      <c r="G25" s="2"/>
      <c r="H25" s="2"/>
    </row>
    <row r="26" spans="1:8">
      <c r="A26" s="9">
        <v>46043</v>
      </c>
      <c r="B26" s="2">
        <f>COUNTIF('1_Raw_Data'!G2:G21,A26)</f>
        <v>1</v>
      </c>
      <c r="C26" s="4">
        <f>SUMIFS('1_Raw_Data'!I2:I21,'1_Raw_Data'!G2:G21,A26,'1_Raw_Data'!J2:J21,"Confirmed")</f>
        <v>8500</v>
      </c>
      <c r="D26" s="2"/>
      <c r="E26" s="2"/>
      <c r="F26" s="2"/>
      <c r="G26" s="2"/>
      <c r="H26" s="2"/>
    </row>
    <row r="27" spans="1:8">
      <c r="A27" s="9">
        <v>46044</v>
      </c>
      <c r="B27" s="2">
        <f>COUNTIF('1_Raw_Data'!G2:G21,A27)</f>
        <v>1</v>
      </c>
      <c r="C27" s="4">
        <f>SUMIFS('1_Raw_Data'!I2:I21,'1_Raw_Data'!G2:G21,A27,'1_Raw_Data'!J2:J21,"Confirmed")</f>
        <v>5200</v>
      </c>
      <c r="D27" s="2"/>
      <c r="E27" s="2"/>
      <c r="F27" s="2"/>
      <c r="G27" s="2"/>
      <c r="H27" s="2"/>
    </row>
    <row r="28" spans="1:8">
      <c r="A28" s="9">
        <v>46045</v>
      </c>
      <c r="B28" s="2">
        <f>COUNTIF('1_Raw_Data'!G2:G21,A28)</f>
        <v>1</v>
      </c>
      <c r="C28" s="4">
        <f>SUMIFS('1_Raw_Data'!I2:I21,'1_Raw_Data'!G2:G21,A28,'1_Raw_Data'!J2:J21,"Confirmed")</f>
        <v>7200</v>
      </c>
      <c r="D28" s="2"/>
      <c r="E28" s="2"/>
      <c r="F28" s="2"/>
      <c r="G28" s="2"/>
      <c r="H28" s="2"/>
    </row>
    <row r="29" spans="1:8">
      <c r="A29" s="9">
        <v>46046</v>
      </c>
      <c r="B29" s="2">
        <f>COUNTIF('1_Raw_Data'!G2:G21,A29)</f>
        <v>1</v>
      </c>
      <c r="C29" s="4">
        <f>SUMIFS('1_Raw_Data'!I2:I21,'1_Raw_Data'!G2:G21,A29,'1_Raw_Data'!J2:J21,"Confirmed")</f>
        <v>0</v>
      </c>
      <c r="D29" s="2"/>
      <c r="E29" s="2"/>
      <c r="F29" s="2"/>
      <c r="G29" s="2"/>
      <c r="H29" s="2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4"/>
  <sheetViews>
    <sheetView showGridLines="0" tabSelected="1" workbookViewId="0"/>
  </sheetViews>
  <sheetFormatPr defaultRowHeight="14.5"/>
  <cols>
    <col min="1" max="13" width="14" customWidth="1"/>
  </cols>
  <sheetData>
    <row r="1" spans="2:12" ht="22" customHeight="1"/>
    <row r="2" spans="2:12" ht="22" customHeight="1">
      <c r="B2" s="18" t="s">
        <v>106</v>
      </c>
      <c r="C2" s="13"/>
      <c r="D2" s="13"/>
      <c r="E2" s="13"/>
      <c r="F2" s="13"/>
      <c r="G2" s="13"/>
      <c r="H2" s="13"/>
      <c r="I2" s="13"/>
      <c r="J2" s="13"/>
    </row>
    <row r="3" spans="2:12" ht="22" customHeight="1">
      <c r="B3" s="12" t="s">
        <v>107</v>
      </c>
      <c r="C3" s="13"/>
      <c r="D3" s="13"/>
      <c r="E3" s="13"/>
      <c r="F3" s="13"/>
      <c r="G3" s="13"/>
      <c r="H3" s="13"/>
      <c r="I3" s="13"/>
      <c r="J3" s="13"/>
    </row>
    <row r="4" spans="2:12" ht="22" customHeight="1"/>
    <row r="5" spans="2:12" ht="22" customHeight="1">
      <c r="B5" s="16" t="s">
        <v>85</v>
      </c>
      <c r="C5" s="13"/>
      <c r="E5" s="16" t="s">
        <v>17</v>
      </c>
      <c r="F5" s="13"/>
      <c r="H5" s="16" t="s">
        <v>32</v>
      </c>
      <c r="I5" s="13"/>
      <c r="K5" s="16" t="s">
        <v>91</v>
      </c>
      <c r="L5" s="13"/>
    </row>
    <row r="6" spans="2:12" ht="22" customHeight="1">
      <c r="B6" s="14">
        <f>COUNTA('1_Raw_Data'!B2:B21)</f>
        <v>20</v>
      </c>
      <c r="C6" s="13"/>
      <c r="E6" s="14">
        <f>COUNTIF('1_Raw_Data'!J2:J21,"Confirmed")</f>
        <v>15</v>
      </c>
      <c r="F6" s="13"/>
      <c r="H6" s="14">
        <f>COUNTIF('1_Raw_Data'!J2:J21,"Cancelled")</f>
        <v>5</v>
      </c>
      <c r="I6" s="13"/>
      <c r="K6" s="17">
        <f>SUMIF('1_Raw_Data'!J2:J21,"Confirmed",'1_Raw_Data'!I2:I21)</f>
        <v>105800</v>
      </c>
      <c r="L6" s="13"/>
    </row>
    <row r="7" spans="2:12" ht="22" customHeight="1">
      <c r="B7" s="13"/>
      <c r="C7" s="13"/>
      <c r="E7" s="13"/>
      <c r="F7" s="13"/>
      <c r="H7" s="13"/>
      <c r="I7" s="13"/>
      <c r="K7" s="13"/>
      <c r="L7" s="13"/>
    </row>
    <row r="8" spans="2:12" ht="22" customHeight="1"/>
    <row r="9" spans="2:12" ht="22" customHeight="1"/>
    <row r="10" spans="2:12" ht="22" customHeight="1"/>
    <row r="11" spans="2:12" ht="22" customHeight="1"/>
    <row r="12" spans="2:12" ht="22" customHeight="1"/>
    <row r="13" spans="2:12" ht="22" customHeight="1"/>
    <row r="14" spans="2:12" ht="22" customHeight="1"/>
    <row r="15" spans="2:12" ht="22" customHeight="1"/>
    <row r="16" spans="2:12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spans="2:12" ht="22" customHeight="1"/>
    <row r="34" spans="2:12" ht="22" customHeight="1"/>
    <row r="35" spans="2:12" ht="22" customHeight="1"/>
    <row r="36" spans="2:12" ht="22" customHeight="1"/>
    <row r="37" spans="2:12" ht="22" customHeight="1"/>
    <row r="38" spans="2:12" ht="22" customHeight="1"/>
    <row r="39" spans="2:12" ht="22" customHeight="1"/>
    <row r="40" spans="2:12" ht="22" customHeight="1"/>
    <row r="41" spans="2:12" ht="22" customHeight="1"/>
    <row r="42" spans="2:12" ht="22" customHeight="1"/>
    <row r="43" spans="2:12" ht="22" customHeight="1"/>
    <row r="44" spans="2:12" ht="22" customHeight="1">
      <c r="B44" s="15" t="s">
        <v>108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</row>
  </sheetData>
  <mergeCells count="11">
    <mergeCell ref="B2:J2"/>
    <mergeCell ref="B3:J3"/>
    <mergeCell ref="E6:F7"/>
    <mergeCell ref="B44:L44"/>
    <mergeCell ref="H6:I7"/>
    <mergeCell ref="B5:C5"/>
    <mergeCell ref="K6:L7"/>
    <mergeCell ref="E5:F5"/>
    <mergeCell ref="K5:L5"/>
    <mergeCell ref="B6:C7"/>
    <mergeCell ref="H5:I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1_Raw_Data</vt:lpstr>
      <vt:lpstr>2_Analysis</vt:lpstr>
      <vt:lpstr>3_Summary</vt:lpstr>
      <vt:lpstr>4_Dashboard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aditi</cp:lastModifiedBy>
  <dcterms:created xsi:type="dcterms:W3CDTF">2026-09-08T13:59:32Z</dcterms:created>
  <dcterms:modified xsi:type="dcterms:W3CDTF">2026-09-09T02:41:28Z</dcterms:modified>
</cp:coreProperties>
</file>